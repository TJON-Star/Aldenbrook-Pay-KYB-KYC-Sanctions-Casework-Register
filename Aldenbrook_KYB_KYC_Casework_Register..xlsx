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Register" sheetId="1" state="visible" r:id="rId1"/>
    <sheet xmlns:r="http://schemas.openxmlformats.org/officeDocument/2006/relationships" name="Evidence &amp; Screening Register" sheetId="2" state="visible" r:id="rId2"/>
    <sheet xmlns:r="http://schemas.openxmlformats.org/officeDocument/2006/relationships" name="Review Procedures" sheetId="3" state="visible" r:id="rId3"/>
    <sheet xmlns:r="http://schemas.openxmlformats.org/officeDocument/2006/relationships" name="Escalation &amp; Decision Log" sheetId="4" state="visible" r:id="rId4"/>
    <sheet xmlns:r="http://schemas.openxmlformats.org/officeDocument/2006/relationships" name="Legend &amp; Instructions" sheetId="5" state="visible" r:id="rId5"/>
    <sheet xmlns:r="http://schemas.openxmlformats.org/officeDocument/2006/relationships" name="Casework Summary"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2A44"/>
      <sz val="14"/>
    </font>
    <font>
      <name val="Arial"/>
      <i val="1"/>
      <color rgb="00555555"/>
      <sz val="10"/>
    </font>
    <font>
      <name val="Arial"/>
      <b val="1"/>
      <color rgb="00FFFFFF"/>
      <sz val="10"/>
    </font>
    <font>
      <name val="Arial"/>
      <sz val="10"/>
    </font>
    <font>
      <name val="Arial"/>
      <b val="1"/>
      <sz val="10"/>
    </font>
  </fonts>
  <fills count="8">
    <fill>
      <patternFill/>
    </fill>
    <fill>
      <patternFill patternType="gray125"/>
    </fill>
    <fill>
      <patternFill patternType="solid">
        <fgColor rgb="001F2A44"/>
      </patternFill>
    </fill>
    <fill>
      <patternFill patternType="solid">
        <fgColor rgb="00FCF3CF"/>
      </patternFill>
    </fill>
    <fill>
      <patternFill patternType="solid">
        <fgColor rgb="00E3F2E1"/>
      </patternFill>
    </fill>
    <fill>
      <patternFill patternType="solid">
        <fgColor rgb="00E8F0FE"/>
      </patternFill>
    </fill>
    <fill>
      <patternFill patternType="solid">
        <fgColor rgb="00F4E4E1"/>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3"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Cases by Status</a:t>
            </a:r>
          </a:p>
        </rich>
      </tx>
    </title>
    <plotArea>
      <barChart>
        <barDir val="col"/>
        <grouping val="clustered"/>
        <ser>
          <idx val="0"/>
          <order val="0"/>
          <tx>
            <strRef>
              <f>'Casework Summary'!B4</f>
            </strRef>
          </tx>
          <spPr>
            <a:ln xmlns:a="http://schemas.openxmlformats.org/drawingml/2006/main">
              <a:prstDash val="solid"/>
            </a:ln>
          </spPr>
          <cat>
            <numRef>
              <f>'Casework Summary'!$A$5:$A$9</f>
            </numRef>
          </cat>
          <val>
            <numRef>
              <f>'Casework Summary'!$B$5:$B$9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Cases by Risk Tier</a:t>
            </a:r>
          </a:p>
        </rich>
      </tx>
    </title>
    <plotArea>
      <barChart>
        <barDir val="col"/>
        <grouping val="clustered"/>
        <ser>
          <idx val="0"/>
          <order val="0"/>
          <tx>
            <strRef>
              <f>'Casework Summary'!B12</f>
            </strRef>
          </tx>
          <spPr>
            <a:ln xmlns:a="http://schemas.openxmlformats.org/drawingml/2006/main">
              <a:prstDash val="solid"/>
            </a:ln>
          </spPr>
          <cat>
            <numRef>
              <f>'Casework Summary'!$A$13:$A$15</f>
            </numRef>
          </cat>
          <val>
            <numRef>
              <f>'Casework Summary'!$B$13:$B$15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3</col>
      <colOff>0</colOff>
      <row>3</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20</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9" customWidth="1" min="1" max="1"/>
    <col width="26" customWidth="1" min="2" max="2"/>
    <col width="20" customWidth="1" min="3" max="3"/>
    <col width="14" customWidth="1" min="4" max="4"/>
    <col width="11" customWidth="1" min="5" max="5"/>
    <col width="30" customWidth="1" min="6" max="6"/>
    <col width="18" customWidth="1" min="7" max="7"/>
    <col width="26" customWidth="1" min="8" max="8"/>
    <col width="13" customWidth="1" min="9" max="9"/>
  </cols>
  <sheetData>
    <row r="1">
      <c r="A1" s="1" t="inlineStr">
        <is>
          <t>Aldenbrook Pay - KYB/KYC &amp; Sanctions Casework Register</t>
        </is>
      </c>
    </row>
    <row r="2">
      <c r="A2" s="2" t="inlineStr">
        <is>
          <t>Fictional case study platform (contractor payments / EOR), built to demonstrate evidence-first KYB, KYC, and sanctions casework discipline. No real clients, contractors, or screening data.</t>
        </is>
      </c>
    </row>
    <row r="4">
      <c r="A4" s="3" t="inlineStr">
        <is>
          <t>Case ID</t>
        </is>
      </c>
      <c r="B4" s="3" t="inlineStr">
        <is>
          <t>Subject</t>
        </is>
      </c>
      <c r="C4" s="3" t="inlineStr">
        <is>
          <t>Case Type</t>
        </is>
      </c>
      <c r="D4" s="3" t="inlineStr">
        <is>
          <t>Jurisdiction</t>
        </is>
      </c>
      <c r="E4" s="3" t="inlineStr">
        <is>
          <t>Risk Tier</t>
        </is>
      </c>
      <c r="F4" s="3" t="inlineStr">
        <is>
          <t>Trigger</t>
        </is>
      </c>
      <c r="G4" s="3" t="inlineStr">
        <is>
          <t>Status</t>
        </is>
      </c>
      <c r="H4" s="3" t="inlineStr">
        <is>
          <t>Next Review Date</t>
        </is>
      </c>
      <c r="I4" s="3" t="inlineStr">
        <is>
          <t>Case Owner</t>
        </is>
      </c>
    </row>
    <row r="5" ht="30" customHeight="1">
      <c r="A5" s="4" t="inlineStr">
        <is>
          <t>C-001</t>
        </is>
      </c>
      <c r="B5" s="4" t="inlineStr">
        <is>
          <t>Solara Freight Ltd</t>
        </is>
      </c>
      <c r="C5" s="4" t="inlineStr">
        <is>
          <t>Client KYB</t>
        </is>
      </c>
      <c r="D5" s="4" t="inlineStr">
        <is>
          <t>Kenya</t>
        </is>
      </c>
      <c r="E5" s="5" t="inlineStr">
        <is>
          <t>Medium</t>
        </is>
      </c>
      <c r="F5" s="4" t="inlineStr">
        <is>
          <t>New client onboarding</t>
        </is>
      </c>
      <c r="G5" s="6" t="inlineStr">
        <is>
          <t>Closed - Approved</t>
        </is>
      </c>
      <c r="H5" s="4" t="inlineStr">
        <is>
          <t>2027-09-01</t>
        </is>
      </c>
      <c r="I5" s="4" t="inlineStr">
        <is>
          <t>Analyst A</t>
        </is>
      </c>
    </row>
    <row r="6" ht="30" customHeight="1">
      <c r="A6" s="4" t="inlineStr">
        <is>
          <t>C-002</t>
        </is>
      </c>
      <c r="B6" s="4" t="inlineStr">
        <is>
          <t>Vantage Digital Media FZE</t>
        </is>
      </c>
      <c r="C6" s="4" t="inlineStr">
        <is>
          <t>Client KYB</t>
        </is>
      </c>
      <c r="D6" s="4" t="inlineStr">
        <is>
          <t>UAE</t>
        </is>
      </c>
      <c r="E6" s="5" t="inlineStr">
        <is>
          <t>Medium</t>
        </is>
      </c>
      <c r="F6" s="4" t="inlineStr">
        <is>
          <t>New client onboarding</t>
        </is>
      </c>
      <c r="G6" s="5" t="inlineStr">
        <is>
          <t>Under Review</t>
        </is>
      </c>
      <c r="H6" s="4" t="inlineStr">
        <is>
          <t>n/a - open case</t>
        </is>
      </c>
      <c r="I6" s="4" t="inlineStr">
        <is>
          <t>Analyst B</t>
        </is>
      </c>
    </row>
    <row r="7" ht="30" customHeight="1">
      <c r="A7" s="4" t="inlineStr">
        <is>
          <t>C-003</t>
        </is>
      </c>
      <c r="B7" s="4" t="inlineStr">
        <is>
          <t>M. Alaoui (contractor)</t>
        </is>
      </c>
      <c r="C7" s="4" t="inlineStr">
        <is>
          <t>Contractor KYC</t>
        </is>
      </c>
      <c r="D7" s="4" t="inlineStr">
        <is>
          <t>Morocco</t>
        </is>
      </c>
      <c r="E7" s="7" t="inlineStr">
        <is>
          <t>Low</t>
        </is>
      </c>
      <c r="F7" s="4" t="inlineStr">
        <is>
          <t>New contractor onboarding</t>
        </is>
      </c>
      <c r="G7" s="6" t="inlineStr">
        <is>
          <t>Closed - Approved</t>
        </is>
      </c>
      <c r="H7" s="4" t="inlineStr">
        <is>
          <t>2027-08-15</t>
        </is>
      </c>
      <c r="I7" s="4" t="inlineStr">
        <is>
          <t>Analyst A</t>
        </is>
      </c>
    </row>
    <row r="8" ht="30" customHeight="1">
      <c r="A8" s="4" t="inlineStr">
        <is>
          <t>C-004</t>
        </is>
      </c>
      <c r="B8" s="4" t="inlineStr">
        <is>
          <t>R. Osei (contractor)</t>
        </is>
      </c>
      <c r="C8" s="4" t="inlineStr">
        <is>
          <t>Contractor KYC</t>
        </is>
      </c>
      <c r="D8" s="4" t="inlineStr">
        <is>
          <t>Ghana</t>
        </is>
      </c>
      <c r="E8" s="8" t="inlineStr">
        <is>
          <t>High</t>
        </is>
      </c>
      <c r="F8" s="4" t="inlineStr">
        <is>
          <t>New contractor onboarding - PEP screening flag</t>
        </is>
      </c>
      <c r="G8" s="5" t="inlineStr">
        <is>
          <t>Escalated</t>
        </is>
      </c>
      <c r="H8" s="4" t="inlineStr">
        <is>
          <t>n/a - open case</t>
        </is>
      </c>
      <c r="I8" s="4" t="inlineStr">
        <is>
          <t>Analyst B</t>
        </is>
      </c>
    </row>
    <row r="9" ht="30" customHeight="1">
      <c r="A9" s="4" t="inlineStr">
        <is>
          <t>C-005</t>
        </is>
      </c>
      <c r="B9" s="4" t="inlineStr">
        <is>
          <t>Solara Freight Ltd - payout batch</t>
        </is>
      </c>
      <c r="C9" s="4" t="inlineStr">
        <is>
          <t>Payment Investigation</t>
        </is>
      </c>
      <c r="D9" s="4" t="inlineStr">
        <is>
          <t>Kenya</t>
        </is>
      </c>
      <c r="E9" s="5" t="inlineStr">
        <is>
          <t>Medium</t>
        </is>
      </c>
      <c r="F9" s="4" t="inlineStr">
        <is>
          <t>Failed payout batch</t>
        </is>
      </c>
      <c r="G9" s="9" t="inlineStr">
        <is>
          <t>Closed - Resolved</t>
        </is>
      </c>
      <c r="H9" s="4" t="inlineStr">
        <is>
          <t>n/a</t>
        </is>
      </c>
      <c r="I9" s="4" t="inlineStr">
        <is>
          <t>Analyst A</t>
        </is>
      </c>
    </row>
    <row r="10" ht="30" customHeight="1">
      <c r="A10" s="4" t="inlineStr">
        <is>
          <t>C-006</t>
        </is>
      </c>
      <c r="B10" s="4" t="inlineStr">
        <is>
          <t>Ferrotech Trading DMCC</t>
        </is>
      </c>
      <c r="C10" s="4" t="inlineStr">
        <is>
          <t>Client KYB</t>
        </is>
      </c>
      <c r="D10" s="4" t="inlineStr">
        <is>
          <t>UAE</t>
        </is>
      </c>
      <c r="E10" s="8" t="inlineStr">
        <is>
          <t>High</t>
        </is>
      </c>
      <c r="F10" s="4" t="inlineStr">
        <is>
          <t>New client onboarding - shell-company indicators</t>
        </is>
      </c>
      <c r="G10" s="8" t="inlineStr">
        <is>
          <t>Closed - Declined</t>
        </is>
      </c>
      <c r="H10" s="4" t="inlineStr">
        <is>
          <t>2027-03-01 (re-application window)</t>
        </is>
      </c>
      <c r="I10" s="4" t="inlineStr">
        <is>
          <t>Analyst B</t>
        </is>
      </c>
    </row>
    <row r="11" ht="30" customHeight="1">
      <c r="A11" s="4" t="inlineStr">
        <is>
          <t>C-007</t>
        </is>
      </c>
      <c r="B11" s="4" t="inlineStr">
        <is>
          <t>T. Nakamura (contractor)</t>
        </is>
      </c>
      <c r="C11" s="4" t="inlineStr">
        <is>
          <t>Contractor KYC</t>
        </is>
      </c>
      <c r="D11" s="4" t="inlineStr">
        <is>
          <t>Japan</t>
        </is>
      </c>
      <c r="E11" s="7" t="inlineStr">
        <is>
          <t>Low</t>
        </is>
      </c>
      <c r="F11" s="4" t="inlineStr">
        <is>
          <t>Periodic refresh (annual)</t>
        </is>
      </c>
      <c r="G11" s="6" t="inlineStr">
        <is>
          <t>Closed - Approved</t>
        </is>
      </c>
      <c r="H11" s="4" t="inlineStr">
        <is>
          <t>2027-09-10</t>
        </is>
      </c>
      <c r="I11" s="4" t="inlineStr">
        <is>
          <t>Analyst A</t>
        </is>
      </c>
    </row>
    <row r="12" ht="30" customHeight="1">
      <c r="A12" s="4" t="inlineStr">
        <is>
          <t>C-008</t>
        </is>
      </c>
      <c r="B12" s="4" t="inlineStr">
        <is>
          <t>A. Petrov (contractor)</t>
        </is>
      </c>
      <c r="C12" s="4" t="inlineStr">
        <is>
          <t>Payment Investigation</t>
        </is>
      </c>
      <c r="D12" s="4" t="inlineStr">
        <is>
          <t>Georgia</t>
        </is>
      </c>
      <c r="E12" s="8" t="inlineStr">
        <is>
          <t>High</t>
        </is>
      </c>
      <c r="F12" s="4" t="inlineStr">
        <is>
          <t>Cross-border payment concern - routing anomaly</t>
        </is>
      </c>
      <c r="G12" s="5" t="inlineStr">
        <is>
          <t>Escalated</t>
        </is>
      </c>
      <c r="H12" s="4" t="inlineStr">
        <is>
          <t>n/a - open case</t>
        </is>
      </c>
      <c r="I12" s="4" t="inlineStr">
        <is>
          <t>Analyst B</t>
        </is>
      </c>
    </row>
    <row r="13" ht="30" customHeight="1">
      <c r="A13" s="4" t="inlineStr">
        <is>
          <t>C-009</t>
        </is>
      </c>
      <c r="B13" s="4" t="inlineStr">
        <is>
          <t>BrightPath Consulting LLC</t>
        </is>
      </c>
      <c r="C13" s="4" t="inlineStr">
        <is>
          <t>Client KYB</t>
        </is>
      </c>
      <c r="D13" s="4" t="inlineStr">
        <is>
          <t>Nigeria</t>
        </is>
      </c>
      <c r="E13" s="5" t="inlineStr">
        <is>
          <t>Medium</t>
        </is>
      </c>
      <c r="F13" s="4" t="inlineStr">
        <is>
          <t>New client onboarding</t>
        </is>
      </c>
      <c r="G13" s="6" t="inlineStr">
        <is>
          <t>Closed - Approved</t>
        </is>
      </c>
      <c r="H13" s="4" t="inlineStr">
        <is>
          <t>2027-09-05</t>
        </is>
      </c>
      <c r="I13" s="4" t="inlineStr">
        <is>
          <t>Analyst A</t>
        </is>
      </c>
    </row>
    <row r="14" ht="30" customHeight="1">
      <c r="A14" s="4" t="inlineStr">
        <is>
          <t>C-010</t>
        </is>
      </c>
      <c r="B14" s="4" t="inlineStr">
        <is>
          <t>J. Santos (contractor)</t>
        </is>
      </c>
      <c r="C14" s="4" t="inlineStr">
        <is>
          <t>Contractor KYC</t>
        </is>
      </c>
      <c r="D14" s="4" t="inlineStr">
        <is>
          <t>Philippines</t>
        </is>
      </c>
      <c r="E14" s="5" t="inlineStr">
        <is>
          <t>Medium</t>
        </is>
      </c>
      <c r="F14" s="4" t="inlineStr">
        <is>
          <t>New contractor onboarding - sanctions screening potential match</t>
        </is>
      </c>
      <c r="G14" s="6" t="inlineStr">
        <is>
          <t>Closed - Approved</t>
        </is>
      </c>
      <c r="H14" s="4" t="inlineStr">
        <is>
          <t>2027-09-12</t>
        </is>
      </c>
      <c r="I14" s="4" t="inlineStr">
        <is>
          <t>Analyst B</t>
        </is>
      </c>
    </row>
  </sheetData>
  <mergeCells count="2">
    <mergeCell ref="A1:I1"/>
    <mergeCell ref="A2:I2"/>
  </mergeCells>
  <dataValidations count="2">
    <dataValidation sqref="G5:G34" showDropDown="0" showInputMessage="0" showErrorMessage="0" allowBlank="1" type="list">
      <formula1>"Open,Evidence Requested,Under Review,Escalated,Closed - Approved,Closed - Declined,Closed - Resolved"</formula1>
    </dataValidation>
    <dataValidation sqref="E5:E34" showDropDown="0" showInputMessage="0" showErrorMessage="0" allowBlank="1" type="list">
      <formula1>"Low,Medium,High"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workbookViewId="0">
      <pane ySplit="4" topLeftCell="A5" activePane="bottomLeft" state="frozen"/>
      <selection pane="bottomLeft" activeCell="A1" sqref="A1"/>
    </sheetView>
  </sheetViews>
  <sheetFormatPr baseColWidth="8" defaultRowHeight="15"/>
  <cols>
    <col width="11" customWidth="1" min="1" max="1"/>
    <col width="9" customWidth="1" min="2" max="2"/>
    <col width="11" customWidth="1" min="3" max="3"/>
    <col width="28" customWidth="1" min="4" max="4"/>
    <col width="13" customWidth="1" min="5" max="5"/>
    <col width="14" customWidth="1" min="6" max="6"/>
    <col width="14" customWidth="1" min="7" max="7"/>
    <col width="30" customWidth="1" min="8" max="8"/>
    <col width="22" customWidth="1" min="9" max="9"/>
    <col width="11" customWidth="1" min="10" max="10"/>
    <col width="42" customWidth="1" min="11" max="11"/>
  </cols>
  <sheetData>
    <row r="1">
      <c r="A1" s="1" t="inlineStr">
        <is>
          <t>Evidence &amp; Screening Register</t>
        </is>
      </c>
    </row>
    <row r="2">
      <c r="A2" s="2" t="inlineStr">
        <is>
          <t>Full evidence trails shown for four representative cases (C-002, C-004, C-006, C-010) covering the discipline this register enforces: an unresolved screening flag is not a confirmed match, and missing documentation is not evidence of a clean file, it is evidence of an open gap.</t>
        </is>
      </c>
    </row>
    <row r="4">
      <c r="A4" s="3" t="inlineStr">
        <is>
          <t>Evidence ID</t>
        </is>
      </c>
      <c r="B4" s="3" t="inlineStr">
        <is>
          <t>Case ID</t>
        </is>
      </c>
      <c r="C4" s="3" t="inlineStr">
        <is>
          <t>Type</t>
        </is>
      </c>
      <c r="D4" s="3" t="inlineStr">
        <is>
          <t>Item</t>
        </is>
      </c>
      <c r="E4" s="3" t="inlineStr">
        <is>
          <t>Status</t>
        </is>
      </c>
      <c r="F4" s="3" t="inlineStr">
        <is>
          <t>Date Requested</t>
        </is>
      </c>
      <c r="G4" s="3" t="inlineStr">
        <is>
          <t>Date Received</t>
        </is>
      </c>
      <c r="H4" s="3" t="inlineStr">
        <is>
          <t>Source / Reference</t>
        </is>
      </c>
      <c r="I4" s="3" t="inlineStr">
        <is>
          <t>Screening Result</t>
        </is>
      </c>
      <c r="J4" s="3" t="inlineStr">
        <is>
          <t>Reviewer</t>
        </is>
      </c>
      <c r="K4" s="3" t="inlineStr">
        <is>
          <t>Reviewer Conclusion</t>
        </is>
      </c>
    </row>
    <row r="5" ht="55" customHeight="1">
      <c r="A5" s="4" t="inlineStr">
        <is>
          <t>EV-002-01</t>
        </is>
      </c>
      <c r="B5" s="4" t="inlineStr">
        <is>
          <t>C-002</t>
        </is>
      </c>
      <c r="C5" s="4" t="inlineStr">
        <is>
          <t>Document</t>
        </is>
      </c>
      <c r="D5" s="4" t="inlineStr">
        <is>
          <t>Corporate registration certificate</t>
        </is>
      </c>
      <c r="E5" s="4" t="inlineStr">
        <is>
          <t>Received</t>
        </is>
      </c>
      <c r="F5" s="4" t="inlineStr">
        <is>
          <t>2026-09-01</t>
        </is>
      </c>
      <c r="G5" s="4" t="inlineStr">
        <is>
          <t>2026-09-02</t>
        </is>
      </c>
      <c r="H5" s="4" t="inlineStr">
        <is>
          <t>Vantage - registration cert, UAE Ministry of Economy portal export</t>
        </is>
      </c>
      <c r="I5" s="4" t="inlineStr">
        <is>
          <t>n/a</t>
        </is>
      </c>
      <c r="J5" s="4" t="inlineStr">
        <is>
          <t>Analyst B</t>
        </is>
      </c>
      <c r="K5" s="4" t="inlineStr">
        <is>
          <t>Existence and jurisdiction confirmed; consistent with declared entity name.</t>
        </is>
      </c>
    </row>
    <row r="6" ht="55" customHeight="1">
      <c r="A6" s="4" t="inlineStr">
        <is>
          <t>EV-002-02</t>
        </is>
      </c>
      <c r="B6" s="4" t="inlineStr">
        <is>
          <t>C-002</t>
        </is>
      </c>
      <c r="C6" s="4" t="inlineStr">
        <is>
          <t>Document</t>
        </is>
      </c>
      <c r="D6" s="4" t="inlineStr">
        <is>
          <t>Ownership structure / UBO declaration</t>
        </is>
      </c>
      <c r="E6" s="4" t="inlineStr">
        <is>
          <t>Insufficient</t>
        </is>
      </c>
      <c r="F6" s="4" t="inlineStr">
        <is>
          <t>2026-09-01</t>
        </is>
      </c>
      <c r="G6" s="4" t="inlineStr">
        <is>
          <t>2026-09-03</t>
        </is>
      </c>
      <c r="H6" s="4" t="inlineStr">
        <is>
          <t>Vantage - UBO form v1 (partial)</t>
        </is>
      </c>
      <c r="I6" s="4" t="inlineStr">
        <is>
          <t>n/a</t>
        </is>
      </c>
      <c r="J6" s="4" t="inlineStr">
        <is>
          <t>Analyst B</t>
        </is>
      </c>
      <c r="K6" s="4" t="inlineStr">
        <is>
          <t>Declares two beneficial owners at 40% each but leaves remaining 20% unattributed. Requested clarification 2026-09-04, not yet received.</t>
        </is>
      </c>
    </row>
    <row r="7" ht="55" customHeight="1">
      <c r="A7" s="4" t="inlineStr">
        <is>
          <t>EV-002-03</t>
        </is>
      </c>
      <c r="B7" s="4" t="inlineStr">
        <is>
          <t>C-002</t>
        </is>
      </c>
      <c r="C7" s="4" t="inlineStr">
        <is>
          <t>Document</t>
        </is>
      </c>
      <c r="D7" s="4" t="inlineStr">
        <is>
          <t>Proof of operations</t>
        </is>
      </c>
      <c r="E7" s="4" t="inlineStr">
        <is>
          <t>Received</t>
        </is>
      </c>
      <c r="F7" s="4" t="inlineStr">
        <is>
          <t>2026-09-01</t>
        </is>
      </c>
      <c r="G7" s="4" t="inlineStr">
        <is>
          <t>2026-09-02</t>
        </is>
      </c>
      <c r="H7" s="4" t="inlineStr">
        <is>
          <t>Vantage - company website, sample client invoices (x3)</t>
        </is>
      </c>
      <c r="I7" s="4" t="inlineStr">
        <is>
          <t>n/a</t>
        </is>
      </c>
      <c r="J7" s="4" t="inlineStr">
        <is>
          <t>Analyst B</t>
        </is>
      </c>
      <c r="K7" s="4" t="inlineStr">
        <is>
          <t>Operations consistent with declared business activity (digital media production).</t>
        </is>
      </c>
    </row>
    <row r="8" ht="55" customHeight="1">
      <c r="A8" s="4" t="inlineStr">
        <is>
          <t>EV-002-04</t>
        </is>
      </c>
      <c r="B8" s="4" t="inlineStr">
        <is>
          <t>C-002</t>
        </is>
      </c>
      <c r="C8" s="4" t="inlineStr">
        <is>
          <t>Document</t>
        </is>
      </c>
      <c r="D8" s="4" t="inlineStr">
        <is>
          <t>Authorized representative ID + authorization letter</t>
        </is>
      </c>
      <c r="E8" s="4" t="inlineStr">
        <is>
          <t>Received</t>
        </is>
      </c>
      <c r="F8" s="4" t="inlineStr">
        <is>
          <t>2026-09-01</t>
        </is>
      </c>
      <c r="G8" s="4" t="inlineStr">
        <is>
          <t>2026-09-02</t>
        </is>
      </c>
      <c r="H8" s="4" t="inlineStr">
        <is>
          <t>Vantage - passport copy + signed authorization letter</t>
        </is>
      </c>
      <c r="I8" s="4" t="inlineStr">
        <is>
          <t>n/a</t>
        </is>
      </c>
      <c r="J8" s="4" t="inlineStr">
        <is>
          <t>Analyst B</t>
        </is>
      </c>
      <c r="K8" s="4" t="inlineStr">
        <is>
          <t>ID valid and unexpired; authorization letter signed by declared director.</t>
        </is>
      </c>
    </row>
    <row r="9" ht="55" customHeight="1">
      <c r="A9" s="4" t="inlineStr">
        <is>
          <t>EV-002-05</t>
        </is>
      </c>
      <c r="B9" s="4" t="inlineStr">
        <is>
          <t>C-002</t>
        </is>
      </c>
      <c r="C9" s="4" t="inlineStr">
        <is>
          <t>Screening</t>
        </is>
      </c>
      <c r="D9" s="4" t="inlineStr">
        <is>
          <t>Sanctions screening - entity and named UBOs</t>
        </is>
      </c>
      <c r="E9" s="4" t="inlineStr">
        <is>
          <t>Reviewed</t>
        </is>
      </c>
      <c r="F9" s="4" t="inlineStr">
        <is>
          <t>2026-09-02</t>
        </is>
      </c>
      <c r="G9" s="4" t="inlineStr">
        <is>
          <t>2026-09-02</t>
        </is>
      </c>
      <c r="H9" s="4" t="inlineStr">
        <is>
          <t>Screening tool export, ref SC-2026-4471</t>
        </is>
      </c>
      <c r="I9" s="4" t="inlineStr">
        <is>
          <t>Clear as of 2026-09-02</t>
        </is>
      </c>
      <c r="J9" s="4" t="inlineStr">
        <is>
          <t>Analyst B</t>
        </is>
      </c>
      <c r="K9" s="4" t="inlineStr">
        <is>
          <t>No matches for entity or the two identified UBOs against screened lists as of this date. Remaining 20% owner not yet screened, since not yet identified.</t>
        </is>
      </c>
    </row>
    <row r="10" ht="55" customHeight="1">
      <c r="A10" s="4" t="inlineStr">
        <is>
          <t>EV-004-01</t>
        </is>
      </c>
      <c r="B10" s="4" t="inlineStr">
        <is>
          <t>C-004</t>
        </is>
      </c>
      <c r="C10" s="4" t="inlineStr">
        <is>
          <t>Document</t>
        </is>
      </c>
      <c r="D10" s="4" t="inlineStr">
        <is>
          <t>Government-issued ID</t>
        </is>
      </c>
      <c r="E10" s="4" t="inlineStr">
        <is>
          <t>Received</t>
        </is>
      </c>
      <c r="F10" s="4" t="inlineStr">
        <is>
          <t>2026-09-08</t>
        </is>
      </c>
      <c r="G10" s="4" t="inlineStr">
        <is>
          <t>2026-09-08</t>
        </is>
      </c>
      <c r="H10" s="4" t="inlineStr">
        <is>
          <t>Ghana Card copy</t>
        </is>
      </c>
      <c r="I10" s="4" t="inlineStr">
        <is>
          <t>n/a</t>
        </is>
      </c>
      <c r="J10" s="4" t="inlineStr">
        <is>
          <t>Analyst B</t>
        </is>
      </c>
      <c r="K10" s="4" t="inlineStr">
        <is>
          <t>ID valid, name and date of birth captured for screening.</t>
        </is>
      </c>
    </row>
    <row r="11" ht="55" customHeight="1">
      <c r="A11" s="4" t="inlineStr">
        <is>
          <t>EV-004-02</t>
        </is>
      </c>
      <c r="B11" s="4" t="inlineStr">
        <is>
          <t>C-004</t>
        </is>
      </c>
      <c r="C11" s="4" t="inlineStr">
        <is>
          <t>Screening</t>
        </is>
      </c>
      <c r="D11" s="4" t="inlineStr">
        <is>
          <t>PEP screening</t>
        </is>
      </c>
      <c r="E11" s="4" t="inlineStr">
        <is>
          <t>Reviewed</t>
        </is>
      </c>
      <c r="F11" s="4" t="inlineStr">
        <is>
          <t>2026-09-08</t>
        </is>
      </c>
      <c r="G11" s="4" t="inlineStr">
        <is>
          <t>2026-09-08</t>
        </is>
      </c>
      <c r="H11" s="4" t="inlineStr">
        <is>
          <t>Screening tool export, ref SC-2026-4502</t>
        </is>
      </c>
      <c r="I11" s="4" t="inlineStr">
        <is>
          <t>Potential Match - Under Review</t>
        </is>
      </c>
      <c r="J11" s="4" t="inlineStr">
        <is>
          <t>Analyst B</t>
        </is>
      </c>
      <c r="K11" s="4" t="inlineStr">
        <is>
          <t>Name partially matches a listed PEP record (regional government official). Date of birth on file differs by 4 years from the PEP record; nationality matches. Escalated for secondary review rather than auto-cleared or auto-declined, since a partial identifier mismatch is not sufficient on its own to rule out or confirm the match.</t>
        </is>
      </c>
    </row>
    <row r="12" ht="55" customHeight="1">
      <c r="A12" s="4" t="inlineStr">
        <is>
          <t>EV-004-03</t>
        </is>
      </c>
      <c r="B12" s="4" t="inlineStr">
        <is>
          <t>C-004</t>
        </is>
      </c>
      <c r="C12" s="4" t="inlineStr">
        <is>
          <t>Document</t>
        </is>
      </c>
      <c r="D12" s="4" t="inlineStr">
        <is>
          <t>Secondary identifying document (proof of address)</t>
        </is>
      </c>
      <c r="E12" s="4" t="inlineStr">
        <is>
          <t>Requested</t>
        </is>
      </c>
      <c r="F12" s="4" t="inlineStr">
        <is>
          <t>2026-09-09</t>
        </is>
      </c>
      <c r="G12" s="4" t="inlineStr">
        <is>
          <t>n/a</t>
        </is>
      </c>
      <c r="H12" s="4" t="inlineStr">
        <is>
          <t>Requested from contractor 2026-09-09</t>
        </is>
      </c>
      <c r="I12" s="4" t="inlineStr">
        <is>
          <t>n/a</t>
        </is>
      </c>
      <c r="J12" s="4" t="inlineStr">
        <is>
          <t>Analyst B</t>
        </is>
      </c>
      <c r="K12" s="4" t="inlineStr">
        <is>
          <t>Requested to help disambiguate the PEP screening match; not yet received.</t>
        </is>
      </c>
    </row>
    <row r="13" ht="55" customHeight="1">
      <c r="A13" s="4" t="inlineStr">
        <is>
          <t>EV-006-01</t>
        </is>
      </c>
      <c r="B13" s="4" t="inlineStr">
        <is>
          <t>C-006</t>
        </is>
      </c>
      <c r="C13" s="4" t="inlineStr">
        <is>
          <t>Document</t>
        </is>
      </c>
      <c r="D13" s="4" t="inlineStr">
        <is>
          <t>Corporate registration certificate</t>
        </is>
      </c>
      <c r="E13" s="4" t="inlineStr">
        <is>
          <t>Received</t>
        </is>
      </c>
      <c r="F13" s="4" t="inlineStr">
        <is>
          <t>2026-08-20</t>
        </is>
      </c>
      <c r="G13" s="4" t="inlineStr">
        <is>
          <t>2026-08-21</t>
        </is>
      </c>
      <c r="H13" s="4" t="inlineStr">
        <is>
          <t>Ferrotech - registration cert, DMCC portal export</t>
        </is>
      </c>
      <c r="I13" s="4" t="inlineStr">
        <is>
          <t>n/a</t>
        </is>
      </c>
      <c r="J13" s="4" t="inlineStr">
        <is>
          <t>Analyst B</t>
        </is>
      </c>
      <c r="K13" s="4" t="inlineStr">
        <is>
          <t>Entity registered 2026-07, less than two months before application.</t>
        </is>
      </c>
    </row>
    <row r="14" ht="55" customHeight="1">
      <c r="A14" s="4" t="inlineStr">
        <is>
          <t>EV-006-02</t>
        </is>
      </c>
      <c r="B14" s="4" t="inlineStr">
        <is>
          <t>C-006</t>
        </is>
      </c>
      <c r="C14" s="4" t="inlineStr">
        <is>
          <t>Document</t>
        </is>
      </c>
      <c r="D14" s="4" t="inlineStr">
        <is>
          <t>Ownership structure / UBO declaration</t>
        </is>
      </c>
      <c r="E14" s="4" t="inlineStr">
        <is>
          <t>Received</t>
        </is>
      </c>
      <c r="F14" s="4" t="inlineStr">
        <is>
          <t>2026-08-20</t>
        </is>
      </c>
      <c r="G14" s="4" t="inlineStr">
        <is>
          <t>2026-08-22</t>
        </is>
      </c>
      <c r="H14" s="4" t="inlineStr">
        <is>
          <t>Ferrotech - UBO form v1</t>
        </is>
      </c>
      <c r="I14" s="4" t="inlineStr">
        <is>
          <t>n/a</t>
        </is>
      </c>
      <c r="J14" s="4" t="inlineStr">
        <is>
          <t>Analyst B</t>
        </is>
      </c>
      <c r="K14" s="4" t="inlineStr">
        <is>
          <t>Sole UBO declared; the same individual is also sole director/UBO of two other entities that are separately under compliance review for unrelated reasons. Those other reviews are not yet concluded, so this is recorded as an elevated-scrutiny factor requiring disclosure and further diligence, not as confirmed wrongdoing by association.</t>
        </is>
      </c>
    </row>
    <row r="15" ht="55" customHeight="1">
      <c r="A15" s="4" t="inlineStr">
        <is>
          <t>EV-006-03</t>
        </is>
      </c>
      <c r="B15" s="4" t="inlineStr">
        <is>
          <t>C-006</t>
        </is>
      </c>
      <c r="C15" s="4" t="inlineStr">
        <is>
          <t>Document</t>
        </is>
      </c>
      <c r="D15" s="4" t="inlineStr">
        <is>
          <t>Proof of operations</t>
        </is>
      </c>
      <c r="E15" s="4" t="inlineStr">
        <is>
          <t>Insufficient</t>
        </is>
      </c>
      <c r="F15" s="4" t="inlineStr">
        <is>
          <t>2026-08-20</t>
        </is>
      </c>
      <c r="G15" s="4" t="inlineStr">
        <is>
          <t>2026-08-23</t>
        </is>
      </c>
      <c r="H15" s="4" t="inlineStr">
        <is>
          <t>Ferrotech - website only (no invoices, no staff listed, no physical address verification)</t>
        </is>
      </c>
      <c r="I15" s="4" t="inlineStr">
        <is>
          <t>n/a</t>
        </is>
      </c>
      <c r="J15" s="4" t="inlineStr">
        <is>
          <t>Analyst B</t>
        </is>
      </c>
      <c r="K15" s="4" t="inlineStr">
        <is>
          <t>Website exists but shows no verifiable trading history, staff, or physical presence. Requested invoices or contracts evidencing operations 2026-08-24; none received by escalation date.</t>
        </is>
      </c>
    </row>
    <row r="16" ht="55" customHeight="1">
      <c r="A16" s="4" t="inlineStr">
        <is>
          <t>EV-006-04</t>
        </is>
      </c>
      <c r="B16" s="4" t="inlineStr">
        <is>
          <t>C-006</t>
        </is>
      </c>
      <c r="C16" s="4" t="inlineStr">
        <is>
          <t>Screening</t>
        </is>
      </c>
      <c r="D16" s="4" t="inlineStr">
        <is>
          <t>Sanctions and adverse media screening - entity and UBO</t>
        </is>
      </c>
      <c r="E16" s="4" t="inlineStr">
        <is>
          <t>Reviewed</t>
        </is>
      </c>
      <c r="F16" s="4" t="inlineStr">
        <is>
          <t>2026-08-21</t>
        </is>
      </c>
      <c r="G16" s="4" t="inlineStr">
        <is>
          <t>2026-08-21</t>
        </is>
      </c>
      <c r="H16" s="4" t="inlineStr">
        <is>
          <t>Screening tool export, ref SC-2026-4210</t>
        </is>
      </c>
      <c r="I16" s="4" t="inlineStr">
        <is>
          <t>Clear as of 2026-08-21</t>
        </is>
      </c>
      <c r="J16" s="4" t="inlineStr">
        <is>
          <t>Analyst B</t>
        </is>
      </c>
      <c r="K16" s="4" t="inlineStr">
        <is>
          <t>No direct sanctions or adverse media hits. Absence of adverse media is recorded as “none found in sources checked,” not as confirmation the entity is low-risk; the escalation here is driven by the operational-substance gap, not the screening result.</t>
        </is>
      </c>
    </row>
    <row r="17" ht="55" customHeight="1">
      <c r="A17" s="4" t="inlineStr">
        <is>
          <t>EV-010-01</t>
        </is>
      </c>
      <c r="B17" s="4" t="inlineStr">
        <is>
          <t>C-010</t>
        </is>
      </c>
      <c r="C17" s="4" t="inlineStr">
        <is>
          <t>Document</t>
        </is>
      </c>
      <c r="D17" s="4" t="inlineStr">
        <is>
          <t>Government-issued ID</t>
        </is>
      </c>
      <c r="E17" s="4" t="inlineStr">
        <is>
          <t>Received</t>
        </is>
      </c>
      <c r="F17" s="4" t="inlineStr">
        <is>
          <t>2026-09-10</t>
        </is>
      </c>
      <c r="G17" s="4" t="inlineStr">
        <is>
          <t>2026-09-10</t>
        </is>
      </c>
      <c r="H17" s="4" t="inlineStr">
        <is>
          <t>Philippine passport copy</t>
        </is>
      </c>
      <c r="I17" s="4" t="inlineStr">
        <is>
          <t>n/a</t>
        </is>
      </c>
      <c r="J17" s="4" t="inlineStr">
        <is>
          <t>Analyst B</t>
        </is>
      </c>
      <c r="K17" s="4" t="inlineStr">
        <is>
          <t>ID valid, full name and date of birth captured.</t>
        </is>
      </c>
    </row>
    <row r="18" ht="55" customHeight="1">
      <c r="A18" s="4" t="inlineStr">
        <is>
          <t>EV-010-02</t>
        </is>
      </c>
      <c r="B18" s="4" t="inlineStr">
        <is>
          <t>C-010</t>
        </is>
      </c>
      <c r="C18" s="4" t="inlineStr">
        <is>
          <t>Screening</t>
        </is>
      </c>
      <c r="D18" s="4" t="inlineStr">
        <is>
          <t>Sanctions screening</t>
        </is>
      </c>
      <c r="E18" s="4" t="inlineStr">
        <is>
          <t>Reviewed</t>
        </is>
      </c>
      <c r="F18" s="4" t="inlineStr">
        <is>
          <t>2026-09-10</t>
        </is>
      </c>
      <c r="G18" s="4" t="inlineStr">
        <is>
          <t>2026-09-10</t>
        </is>
      </c>
      <c r="H18" s="4" t="inlineStr">
        <is>
          <t>Screening tool export, ref SC-2026-4531</t>
        </is>
      </c>
      <c r="I18" s="4" t="inlineStr">
        <is>
          <t>Potential Match - Under Review</t>
        </is>
      </c>
      <c r="J18" s="4" t="inlineStr">
        <is>
          <t>Analyst B</t>
        </is>
      </c>
      <c r="K18" s="4" t="inlineStr">
        <is>
          <t>Surname and given name match an entry on a screened sanctions list. Date of birth on file (1994) does not match the listed entry's date of birth (1961); nationality also differs (Philippines vs. listed entity's nationality). Flagged for manual disambiguation rather than auto-cleared.</t>
        </is>
      </c>
    </row>
    <row r="19" ht="55" customHeight="1">
      <c r="A19" s="4" t="inlineStr">
        <is>
          <t>EV-010-03</t>
        </is>
      </c>
      <c r="B19" s="4" t="inlineStr">
        <is>
          <t>C-010</t>
        </is>
      </c>
      <c r="C19" s="4" t="inlineStr">
        <is>
          <t>Document</t>
        </is>
      </c>
      <c r="D19" s="4" t="inlineStr">
        <is>
          <t>Secondary identifying document (proof of address)</t>
        </is>
      </c>
      <c r="E19" s="4" t="inlineStr">
        <is>
          <t>Received</t>
        </is>
      </c>
      <c r="F19" s="4" t="inlineStr">
        <is>
          <t>2026-09-11</t>
        </is>
      </c>
      <c r="G19" s="4" t="inlineStr">
        <is>
          <t>2026-09-11</t>
        </is>
      </c>
      <c r="H19" s="4" t="inlineStr">
        <is>
          <t>Utility bill, dated within 3 months</t>
        </is>
      </c>
      <c r="I19" s="4" t="inlineStr">
        <is>
          <t>n/a</t>
        </is>
      </c>
      <c r="J19" s="4" t="inlineStr">
        <is>
          <t>Analyst B</t>
        </is>
      </c>
      <c r="K19" s="4" t="inlineStr">
        <is>
          <t>Address and full legal name consistent with ID on file; supports that this is a distinct individual from the listed record.</t>
        </is>
      </c>
    </row>
    <row r="20" ht="55" customHeight="1">
      <c r="A20" s="4" t="inlineStr">
        <is>
          <t>EV-010-04</t>
        </is>
      </c>
      <c r="B20" s="4" t="inlineStr">
        <is>
          <t>C-010</t>
        </is>
      </c>
      <c r="C20" s="4" t="inlineStr">
        <is>
          <t>Screening</t>
        </is>
      </c>
      <c r="D20" s="4" t="inlineStr">
        <is>
          <t>Sanctions screening - disambiguation outcome</t>
        </is>
      </c>
      <c r="E20" s="4" t="inlineStr">
        <is>
          <t>Reviewed</t>
        </is>
      </c>
      <c r="F20" s="4" t="inlineStr">
        <is>
          <t>2026-09-11</t>
        </is>
      </c>
      <c r="G20" s="4" t="inlineStr">
        <is>
          <t>2026-09-12</t>
        </is>
      </c>
      <c r="H20" s="4" t="inlineStr">
        <is>
          <t>Case notes SC-2026-4531, secondary review by Analyst B, confirmed by Head of Compliance</t>
        </is>
      </c>
      <c r="I20" s="4" t="inlineStr">
        <is>
          <t>False Positive - Cleared</t>
        </is>
      </c>
      <c r="J20" s="4" t="inlineStr">
        <is>
          <t>Analyst B</t>
        </is>
      </c>
      <c r="K20" s="4" t="inlineStr">
        <is>
          <t>Name match is coincidental; date of birth, nationality, and address evidence are inconsistent with the listed record. Cleared as false positive with two independent identifiers supporting the determination, not name similarity alone.</t>
        </is>
      </c>
    </row>
  </sheetData>
  <mergeCells count="2">
    <mergeCell ref="A2:K2"/>
    <mergeCell ref="A1:K1"/>
  </mergeCells>
  <dataValidations count="2">
    <dataValidation sqref="E5:E40" showDropDown="0" showInputMessage="0" showErrorMessage="0" allowBlank="1" type="list">
      <formula1>"Not Requested,Requested,Received,Reviewed,Insufficient"</formula1>
    </dataValidation>
    <dataValidation sqref="I5:I40" showDropDown="0" showInputMessage="0" showErrorMessage="0" allowBlank="1" type="list">
      <formula1>"n/a,Clear as of screening date,Potential Match - Under Review,Confirmed Match,False Positive - Cleared"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24" customWidth="1" min="1" max="1"/>
    <col width="42" customWidth="1" min="2" max="2"/>
    <col width="42" customWidth="1" min="3" max="3"/>
    <col width="46" customWidth="1" min="4" max="4"/>
  </cols>
  <sheetData>
    <row r="1">
      <c r="A1" s="1" t="inlineStr">
        <is>
          <t>Review Procedures</t>
        </is>
      </c>
    </row>
    <row r="2">
      <c r="A2" s="2" t="inlineStr">
        <is>
          <t>For each evidence or screening type: what the analyst checks, what constitutes a pass, and what constitutes an escalation. Defined before evidence arrives, so a decision can be tested against a standard rather than a feeling.</t>
        </is>
      </c>
    </row>
    <row r="4">
      <c r="A4" s="3" t="inlineStr">
        <is>
          <t>Evidence / Check Type</t>
        </is>
      </c>
      <c r="B4" s="3" t="inlineStr">
        <is>
          <t>Review Procedure</t>
        </is>
      </c>
      <c r="C4" s="3" t="inlineStr">
        <is>
          <t>Pass Criteria</t>
        </is>
      </c>
      <c r="D4" s="3" t="inlineStr">
        <is>
          <t>Escalation Criteria</t>
        </is>
      </c>
    </row>
    <row r="5" ht="58" customHeight="1">
      <c r="A5" s="4" t="inlineStr">
        <is>
          <t>Corporate registration certificate</t>
        </is>
      </c>
      <c r="B5" s="4" t="inlineStr">
        <is>
          <t>Inspect registration certificate against the declared entity name, jurisdiction, and registration date.</t>
        </is>
      </c>
      <c r="C5" s="4" t="inlineStr">
        <is>
          <t>Certificate is current, matches declared entity name and jurisdiction exactly, and is issued by a recognized registrar.</t>
        </is>
      </c>
      <c r="D5" s="4" t="inlineStr">
        <is>
          <t>Certificate is expired, mismatched to declared entity, issued by an unrecognized registrar, or entity was registered so recently that operational history cannot yet be evidenced.</t>
        </is>
      </c>
    </row>
    <row r="6" ht="58" customHeight="1">
      <c r="A6" s="4" t="inlineStr">
        <is>
          <t>Ownership structure / UBO declaration</t>
        </is>
      </c>
      <c r="B6" s="4" t="inlineStr">
        <is>
          <t>Review declared beneficial ownership for completeness (ownership should total 100%) and cross-check named UBOs against screening.</t>
        </is>
      </c>
      <c r="C6" s="4" t="inlineStr">
        <is>
          <t>All beneficial owners above the applicable threshold are identified by name and percentage, ownership totals a defensible 100%, and all named UBOs have been screened.</t>
        </is>
      </c>
      <c r="D6" s="4" t="inlineStr">
        <is>
          <t>Ownership is undeclared, unattributed, or does not total 100%; a named UBO cannot be identified; or a named UBO is linked to other flagged entities.</t>
        </is>
      </c>
    </row>
    <row r="7" ht="58" customHeight="1">
      <c r="A7" s="4" t="inlineStr">
        <is>
          <t>Proof of operations</t>
        </is>
      </c>
      <c r="B7" s="4" t="inlineStr">
        <is>
          <t>Review evidence of actual trading activity: website, invoices, contracts, or staff records consistent with the declared business.</t>
        </is>
      </c>
      <c r="C7" s="4" t="inlineStr">
        <is>
          <t>Evidence shows verifiable operational history consistent with the declared business activity and timeline.</t>
        </is>
      </c>
      <c r="D7" s="4" t="inlineStr">
        <is>
          <t>No verifiable operational history exists beyond a website or marketing material, especially combined with recent incorporation.</t>
        </is>
      </c>
    </row>
    <row r="8" ht="58" customHeight="1">
      <c r="A8" s="4" t="inlineStr">
        <is>
          <t>Authorized representative ID + authorization letter</t>
        </is>
      </c>
      <c r="B8" s="4" t="inlineStr">
        <is>
          <t>Verify the ID is valid and unexpired, and that the authorization letter is signed by a declared director or officer of the entity.</t>
        </is>
      </c>
      <c r="C8" s="4" t="inlineStr">
        <is>
          <t>ID is valid and unexpired; authorization letter is signed by a person with confirmed authority per the corporate registration.</t>
        </is>
      </c>
      <c r="D8" s="4" t="inlineStr">
        <is>
          <t>ID is expired or inconsistent with the named representative; authorization letter is unsigned, undated, or signed by someone without confirmed authority.</t>
        </is>
      </c>
    </row>
    <row r="9" ht="58" customHeight="1">
      <c r="A9" s="4" t="inlineStr">
        <is>
          <t>Contractor government-issued ID</t>
        </is>
      </c>
      <c r="B9" s="4" t="inlineStr">
        <is>
          <t>Verify ID is valid, unexpired, and the name/date of birth are legible and consistent with the application.</t>
        </is>
      </c>
      <c r="C9" s="4" t="inlineStr">
        <is>
          <t>ID is valid, unexpired, and all screening-relevant fields (name, date of birth, nationality) are legible.</t>
        </is>
      </c>
      <c r="D9" s="4" t="inlineStr">
        <is>
          <t>ID is expired, illegible, or inconsistent with other application details.</t>
        </is>
      </c>
    </row>
    <row r="10" ht="58" customHeight="1">
      <c r="A10" s="4" t="inlineStr">
        <is>
          <t>Proof of address</t>
        </is>
      </c>
      <c r="B10" s="4" t="inlineStr">
        <is>
          <t>Review a dated document (utility bill, bank statement, or equivalent) showing name and address consistent with the application.</t>
        </is>
      </c>
      <c r="C10" s="4" t="inlineStr">
        <is>
          <t>Document is dated within an acceptable window (typically 3 months) and shows a name and address consistent with the application.</t>
        </is>
      </c>
      <c r="D10" s="4" t="inlineStr">
        <is>
          <t>Document is outdated, shows a different name or address, or is a document type not accepted as address evidence.</t>
        </is>
      </c>
    </row>
    <row r="11" ht="58" customHeight="1">
      <c r="A11" s="4" t="inlineStr">
        <is>
          <t>Payment detail verification</t>
        </is>
      </c>
      <c r="B11" s="4" t="inlineStr">
        <is>
          <t>Confirm payment account details match the verified identity, and investigate any recent change to payment details.</t>
        </is>
      </c>
      <c r="C11" s="4" t="inlineStr">
        <is>
          <t>Payment account is held in the name of the verified individual or entity, with no unexplained recent change.</t>
        </is>
      </c>
      <c r="D11" s="4" t="inlineStr">
        <is>
          <t>Payment account name does not match the verified identity, or payment details changed recently without a documented, verified reason.</t>
        </is>
      </c>
    </row>
    <row r="12" ht="58" customHeight="1">
      <c r="A12" s="4" t="inlineStr">
        <is>
          <t>Sanctions screening</t>
        </is>
      </c>
      <c r="B12" s="4" t="inlineStr">
        <is>
          <t>Run the subject (individual or entity, plus named UBOs where applicable) against approved sanctions screening tools and record the result and date.</t>
        </is>
      </c>
      <c r="C12" s="4" t="inlineStr">
        <is>
          <t>No match returned as of the screening date, screened against the full applicable list set.</t>
        </is>
      </c>
      <c r="D12" s="4" t="inlineStr">
        <is>
          <t>Any potential match returned. A potential match is never auto-cleared or auto-declined; it requires disambiguation against at least one additional identifier (date of birth, nationality, or address) before a conclusion is recorded.</t>
        </is>
      </c>
    </row>
    <row r="13" ht="58" customHeight="1">
      <c r="A13" s="4" t="inlineStr">
        <is>
          <t>PEP screening</t>
        </is>
      </c>
      <c r="B13" s="4" t="inlineStr">
        <is>
          <t>Run the subject against approved PEP screening tools and record the result and date.</t>
        </is>
      </c>
      <c r="C13" s="4" t="inlineStr">
        <is>
          <t>No match returned as of the screening date.</t>
        </is>
      </c>
      <c r="D13" s="4" t="inlineStr">
        <is>
          <t>Any potential match returned, including partial name matches, requiring disambiguation before a conclusion is recorded.</t>
        </is>
      </c>
    </row>
    <row r="14" ht="58" customHeight="1">
      <c r="A14" s="4" t="inlineStr">
        <is>
          <t>Adverse media screening</t>
        </is>
      </c>
      <c r="B14" s="4" t="inlineStr">
        <is>
          <t>Search approved adverse media sources for the subject's name and, where applicable, the entity name.</t>
        </is>
      </c>
      <c r="C14" s="4" t="inlineStr">
        <is>
          <t>No adverse media identified in the sources checked as of the screening date. This is recorded as “none found,” not as “confirmed clean,” since adverse media coverage is inherently incomplete.</t>
        </is>
      </c>
    </row>
    <row r="15" ht="58" customHeight="1">
      <c r="A15" s="4" t="inlineStr">
        <is>
          <t>Sanctions / PEP potential match disambiguation</t>
        </is>
      </c>
      <c r="B15" s="4" t="inlineStr">
        <is>
          <t>Compare independent identifiers (date of birth, nationality, address, or ID number) between the subject and the listed record. Weigh both the number of identifiers that are inconsistent and the size of the discrepancy, not just whether at least one differs.</t>
        </is>
      </c>
      <c r="C15" s="4" t="inlineStr">
        <is>
          <t>Multiple independent identifiers are inconsistent with the listed record (not just one), the discrepancies are large enough to rule out data-entry error, and at least one is corroborated by a supporting document.</t>
        </is>
      </c>
      <c r="D15" s="4" t="inlineStr">
        <is>
          <t>Only one identifier is inconsistent, the discrepancy is small enough to plausibly be a data-entry error, or the listed record involves a currently active high-risk role (e.g. a sitting PEP). In these cases the match is escalated for further evidence rather than cleared on a single weak signal, and never auto-declined on a partial match alone.</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ySplit="4" topLeftCell="A5" activePane="bottomLeft" state="frozen"/>
      <selection pane="bottomLeft" activeCell="A1" sqref="A1"/>
    </sheetView>
  </sheetViews>
  <sheetFormatPr baseColWidth="8" defaultRowHeight="15"/>
  <cols>
    <col width="10" customWidth="1" min="1" max="1"/>
    <col width="9" customWidth="1" min="2" max="2"/>
    <col width="18" customWidth="1" min="3" max="3"/>
    <col width="32" customWidth="1" min="4" max="4"/>
    <col width="32" customWidth="1" min="5" max="5"/>
    <col width="34" customWidth="1" min="6" max="6"/>
    <col width="20" customWidth="1" min="7" max="7"/>
    <col width="34" customWidth="1" min="8" max="8"/>
    <col width="20" customWidth="1" min="9" max="9"/>
    <col width="12" customWidth="1" min="10" max="10"/>
    <col width="20" customWidth="1" min="11" max="11"/>
    <col width="16" customWidth="1" min="12" max="12"/>
  </cols>
  <sheetData>
    <row r="1">
      <c r="A1" s="1" t="inlineStr">
        <is>
          <t>Escalation &amp; Decision Log</t>
        </is>
      </c>
    </row>
    <row r="2">
      <c r="A2" s="2" t="inlineStr">
        <is>
          <t>Every decision cites the specific evidence ID(s) and review-procedure criterion it rests on. A decision is only logged here once the underlying evidence has actually been reviewed against Review Procedures, never opened directly from an unresolved or missing item.</t>
        </is>
      </c>
    </row>
    <row r="4">
      <c r="A4" s="3" t="inlineStr">
        <is>
          <t>Decision ID</t>
        </is>
      </c>
      <c r="B4" s="3" t="inlineStr">
        <is>
          <t>Case ID</t>
        </is>
      </c>
      <c r="C4" s="3" t="inlineStr">
        <is>
          <t>Evidence ID(s) Cited</t>
        </is>
      </c>
      <c r="D4" s="3" t="inlineStr">
        <is>
          <t>Condition</t>
        </is>
      </c>
      <c r="E4" s="3" t="inlineStr">
        <is>
          <t>Criteria Applied</t>
        </is>
      </c>
      <c r="F4" s="3" t="inlineStr">
        <is>
          <t>Risk Rationale</t>
        </is>
      </c>
      <c r="G4" s="3" t="inlineStr">
        <is>
          <t>Decision</t>
        </is>
      </c>
      <c r="H4" s="3" t="inlineStr">
        <is>
          <t>Decision Basis</t>
        </is>
      </c>
      <c r="I4" s="3" t="inlineStr">
        <is>
          <t>Decision Owner</t>
        </is>
      </c>
      <c r="J4" s="3" t="inlineStr">
        <is>
          <t>Date</t>
        </is>
      </c>
      <c r="K4" s="3" t="inlineStr">
        <is>
          <t>Next Review / Retest</t>
        </is>
      </c>
      <c r="L4" s="3" t="inlineStr">
        <is>
          <t>Status</t>
        </is>
      </c>
    </row>
    <row r="5" ht="80" customHeight="1">
      <c r="A5" s="4" t="inlineStr">
        <is>
          <t>D-004</t>
        </is>
      </c>
      <c r="B5" s="4" t="inlineStr">
        <is>
          <t>C-004</t>
        </is>
      </c>
      <c r="C5" s="4" t="inlineStr">
        <is>
          <t>EV-004-02, EV-004-03</t>
        </is>
      </c>
      <c r="D5" s="4" t="inlineStr">
        <is>
          <t>PEP screening returned a potential match with a partial name match; date of birth differed by 4 years, nationality matched.</t>
        </is>
      </c>
      <c r="E5" s="4" t="inlineStr">
        <is>
          <t>Sanctions / PEP potential match disambiguation: requires at least one independent identifier inconsistent with the listed record before clearing.</t>
        </is>
      </c>
      <c r="F5" s="4" t="inlineStr">
        <is>
          <t>A 4-year date-of-birth discrepancy alone is within a plausible data-entry error range and is not, by itself, sufficient to clear a PEP match involving a regional government official.</t>
        </is>
      </c>
      <c r="G5" s="5" t="inlineStr">
        <is>
          <t>Pending - Escalated to Head of Compliance</t>
        </is>
      </c>
      <c r="H5" s="4" t="inlineStr">
        <is>
          <t>Secondary identifying document (proof of address) requested 2026-09-09 to support disambiguation; not yet received. No onboarding decision made until this evidence is reviewed.</t>
        </is>
      </c>
      <c r="I5" s="4" t="inlineStr">
        <is>
          <t>Head of Compliance (pending)</t>
        </is>
      </c>
      <c r="J5" s="4" t="inlineStr">
        <is>
          <t>2026-09-09</t>
        </is>
      </c>
      <c r="K5" s="4" t="inlineStr">
        <is>
          <t>Case remains open pending evidence</t>
        </is>
      </c>
      <c r="L5" s="4" t="inlineStr">
        <is>
          <t>Escalated</t>
        </is>
      </c>
    </row>
    <row r="6" ht="80" customHeight="1">
      <c r="A6" s="4" t="inlineStr">
        <is>
          <t>D-006</t>
        </is>
      </c>
      <c r="B6" s="4" t="inlineStr">
        <is>
          <t>C-006</t>
        </is>
      </c>
      <c r="C6" s="4" t="inlineStr">
        <is>
          <t>EV-006-02, EV-006-03, EV-006-04</t>
        </is>
      </c>
      <c r="D6" s="4" t="inlineStr">
        <is>
          <t>UBO linked to two other entities under separate review; no verifiable operational substance beyond a website; screening itself returned no direct hits.</t>
        </is>
      </c>
      <c r="E6" s="4" t="inlineStr">
        <is>
          <t>Proof of operations: escalation criteria met (no verifiable operational history beyond marketing material, combined with recent incorporation). Ownership structure: UBO linked to other flagged entities.</t>
        </is>
      </c>
      <c r="F6" s="4" t="inlineStr">
        <is>
          <t>Absence of sanctions or adverse media hits does not offset the operational-substance gap, which is independently well-evidenced (no invoices, no staff, no verifiable trading history despite two document requests). The UBO's linkage to other under-review entities is treated as an elevated-scrutiny factor supporting the decision to decline now rather than approve pending those reviews, not as standalone proof of wrongdoing; those other cases remain open and unconcluded.</t>
        </is>
      </c>
      <c r="G6" s="8" t="inlineStr">
        <is>
          <t>Declined</t>
        </is>
      </c>
      <c r="H6" s="4" t="inlineStr">
        <is>
          <t>Application declined for insufficient evidence of operational substance and unresolved UBO-linkage concerns. Entity may reapply once operational history can be independently evidenced (e.g., audited financials, verifiable contracts).</t>
        </is>
      </c>
      <c r="I6" s="4" t="inlineStr">
        <is>
          <t>Head of Compliance</t>
        </is>
      </c>
      <c r="J6" s="4" t="inlineStr">
        <is>
          <t>2026-08-26</t>
        </is>
      </c>
      <c r="K6" s="4" t="inlineStr">
        <is>
          <t>2027-03-01 (re-application window)</t>
        </is>
      </c>
      <c r="L6" s="4" t="inlineStr">
        <is>
          <t>Closed - Declined</t>
        </is>
      </c>
    </row>
    <row r="7" ht="80" customHeight="1">
      <c r="A7" s="4" t="inlineStr">
        <is>
          <t>D-010</t>
        </is>
      </c>
      <c r="B7" s="4" t="inlineStr">
        <is>
          <t>C-010</t>
        </is>
      </c>
      <c r="C7" s="4" t="inlineStr">
        <is>
          <t>EV-010-02, EV-010-03, EV-010-04</t>
        </is>
      </c>
      <c r="D7" s="4" t="inlineStr">
        <is>
          <t>Sanctions screening returned a name match; date of birth and nationality differed from the listed record; proof of address independently supported the applicant's declared identity.</t>
        </is>
      </c>
      <c r="E7" s="4" t="inlineStr">
        <is>
          <t>Sanctions / PEP potential match disambiguation: at least one independent identifier inconsistent with the listed record, and no other identifier supports a match.</t>
        </is>
      </c>
      <c r="F7" s="4" t="inlineStr">
        <is>
          <t>Two independent identifiers (date of birth, nationality) and one supporting document (proof of address) all point away from a true match, meeting the bar for a defensible false-positive determination.</t>
        </is>
      </c>
      <c r="G7" s="6" t="inlineStr">
        <is>
          <t>Approved - False Positive Cleared</t>
        </is>
      </c>
      <c r="H7" s="4" t="inlineStr">
        <is>
          <t>Cleared based on independent identifier mismatch, not name similarity alone; disambiguation reviewed and confirmed by Head of Compliance.</t>
        </is>
      </c>
      <c r="I7" s="4" t="inlineStr">
        <is>
          <t>Analyst B, confirmed by Head of Compliance</t>
        </is>
      </c>
      <c r="J7" s="4" t="inlineStr">
        <is>
          <t>2026-09-12</t>
        </is>
      </c>
      <c r="K7" s="4" t="inlineStr">
        <is>
          <t>2027-09-12 (annual refresh)</t>
        </is>
      </c>
      <c r="L7" s="4" t="inlineStr">
        <is>
          <t>Closed - Approved</t>
        </is>
      </c>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95" customWidth="1" min="2" max="2"/>
  </cols>
  <sheetData>
    <row r="1">
      <c r="A1" s="1" t="inlineStr">
        <is>
          <t>How this register works</t>
        </is>
      </c>
    </row>
    <row r="3" ht="85" customHeight="1">
      <c r="A3" s="10" t="inlineStr">
        <is>
          <t>Core discipline</t>
        </is>
      </c>
      <c r="B3" s="11" t="inlineStr">
        <is>
          <t>An unresolved screening flag is not a confirmed match. A lack of documented adverse media is not confirmation of a clean file, it means no adverse media was found in the sources checked as of the screening date. Missing or incomplete documentation is not evidence of low risk, it is an open gap that blocks a decision until it is resolved. This mirrors the discipline used across this portfolio's other GRC work: absence of evidence is recorded as absence of evidence, never overstated in either direction.</t>
        </is>
      </c>
    </row>
    <row r="5" ht="55" customHeight="1">
      <c r="A5" s="10" t="inlineStr">
        <is>
          <t>Case Register tab</t>
        </is>
      </c>
      <c r="B5" s="11" t="inlineStr">
        <is>
          <t>One row per case. Case Type distinguishes Client KYB, Contractor KYC, and Payment Investigation. Risk Tier and Status use the color coding shown in the tab (red-tinted = high risk / declined, yellow-tinted = medium risk / under review or escalated, blue-tinted = low risk).</t>
        </is>
      </c>
    </row>
    <row r="7" ht="55" customHeight="1">
      <c r="A7" s="10" t="inlineStr">
        <is>
          <t>Evidence &amp; Screening Register tab</t>
        </is>
      </c>
      <c r="B7" s="11" t="inlineStr">
        <is>
          <t>Full evidence trails are shown for four representative cases (C-002, C-004, C-006, C-010) chosen specifically to demonstrate the discipline: an open documentation gap (C-002), an escalated PEP match awaiting disambiguation (C-004), a decline driven by a pattern across several evidence items rather than any single red flag (C-006), and a sanctions match investigated and cleared as a false positive using independent identifiers, not name similarity alone (C-010). The remaining cases in the Case Register are tracked at status level without a full evidence breakdown, to keep the register a realistic sample rather than an exhaustive log.</t>
        </is>
      </c>
    </row>
    <row r="9" ht="45" customHeight="1">
      <c r="A9" s="10" t="inlineStr">
        <is>
          <t>Evidence status coding</t>
        </is>
      </c>
      <c r="B9" s="11" t="inlineStr">
        <is>
          <t>Not Requested -&gt; Requested -&gt; Received -&gt; Reviewed. Insufficient is a distinct status: it means evidence was received but does not satisfy the Review Procedure, and is not the same as Not Requested.</t>
        </is>
      </c>
    </row>
    <row r="11" ht="75" customHeight="1">
      <c r="A11" s="10" t="inlineStr">
        <is>
          <t>Screening result coding</t>
        </is>
      </c>
      <c r="B11" s="11" t="inlineStr">
        <is>
          <t>Clear as of screening date: no match found in the tools and lists checked as of that date, not a permanent or absolute clearance. Potential Match - Under Review: a flag has been raised and disambiguation is required before any conclusion is recorded. Confirmed Match: disambiguation supports that this is the listed individual or entity. False Positive - Cleared: disambiguation shows the flag does not correspond to the subject, supported by at least one independent identifier, never by name similarity alone.</t>
        </is>
      </c>
    </row>
    <row r="13" ht="55" customHeight="1">
      <c r="A13" s="10" t="inlineStr">
        <is>
          <t>Review Procedures tab</t>
        </is>
      </c>
      <c r="B13" s="11" t="inlineStr">
        <is>
          <t>Defines, per evidence or screening type, exactly what the analyst checks, what passes, and what escalates, written before evidence arrives. This is the same methodological move used elsewhere in this portfolio: replacing “this looks risky” with a defined, testable standard.</t>
        </is>
      </c>
    </row>
    <row r="15" ht="55" customHeight="1">
      <c r="A15" s="10" t="inlineStr">
        <is>
          <t>Escalation &amp; Decision Log tab</t>
        </is>
      </c>
      <c r="B15" s="11" t="inlineStr">
        <is>
          <t>Every decision cites the specific Evidence ID(s) it rests on and the Review Procedures criterion applied, so a decision can be traced back to what was actually reviewed rather than a general impression of the case. A decision is only logged here once evidence has been reviewed against Review Procedures; it is never opened directly from a missing or unresolved item.</t>
        </is>
      </c>
    </row>
    <row r="17" ht="40" customHeight="1">
      <c r="A17" s="10" t="inlineStr">
        <is>
          <t>Workflow</t>
        </is>
      </c>
      <c r="B17" s="11" t="inlineStr">
        <is>
          <t>Case Intake -&gt; Evidence &amp; Screening Request -&gt; Evidence Review -&gt; Screening Disambiguation (where flagged) -&gt; Decision -&gt; Escalation &amp; Decision Log -&gt; Periodic Refresh / Retest.</t>
        </is>
      </c>
    </row>
    <row r="19">
      <c r="A19" s="10" t="inlineStr">
        <is>
          <t>Casework Summary tab</t>
        </is>
      </c>
    </row>
    <row r="20" ht="55" customHeight="1">
      <c r="A20" s="11" t="inlineStr">
        <is>
          <t>A simple roll-up of the Case Register by status and risk tier. Useful as a template for the kind of dashboard reporting referenced in the Regulatory Change Management and compliance-ops postings this project was built around, not a claim of any real reporting volume.</t>
        </is>
      </c>
    </row>
  </sheetData>
  <mergeCells count="2">
    <mergeCell ref="A20:B20"/>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4" customWidth="1" min="1" max="1"/>
    <col width="10" customWidth="1" min="2" max="2"/>
  </cols>
  <sheetData>
    <row r="1">
      <c r="A1" s="1" t="inlineStr">
        <is>
          <t>Casework Summary</t>
        </is>
      </c>
    </row>
    <row r="2">
      <c r="A2" s="2" t="inlineStr">
        <is>
          <t>Summary of the 10 cases in the Case Register tab, by status and risk tier.</t>
        </is>
      </c>
    </row>
    <row r="4">
      <c r="A4" s="12" t="inlineStr">
        <is>
          <t>Status</t>
        </is>
      </c>
      <c r="B4" s="12" t="inlineStr">
        <is>
          <t>Count</t>
        </is>
      </c>
    </row>
    <row r="5">
      <c r="A5" s="13" t="inlineStr">
        <is>
          <t>Closed - Approved</t>
        </is>
      </c>
      <c r="B5" s="13" t="n">
        <v>5</v>
      </c>
    </row>
    <row r="6">
      <c r="A6" s="13" t="inlineStr">
        <is>
          <t>Under Review</t>
        </is>
      </c>
      <c r="B6" s="13" t="n">
        <v>1</v>
      </c>
    </row>
    <row r="7">
      <c r="A7" s="13" t="inlineStr">
        <is>
          <t>Escalated</t>
        </is>
      </c>
      <c r="B7" s="13" t="n">
        <v>2</v>
      </c>
    </row>
    <row r="8">
      <c r="A8" s="13" t="inlineStr">
        <is>
          <t>Closed - Resolved</t>
        </is>
      </c>
      <c r="B8" s="13" t="n">
        <v>1</v>
      </c>
    </row>
    <row r="9">
      <c r="A9" s="13" t="inlineStr">
        <is>
          <t>Closed - Declined</t>
        </is>
      </c>
      <c r="B9" s="13" t="n">
        <v>1</v>
      </c>
    </row>
    <row r="12">
      <c r="A12" s="12" t="inlineStr">
        <is>
          <t>Risk Tier</t>
        </is>
      </c>
      <c r="B12" s="12" t="inlineStr">
        <is>
          <t>Count</t>
        </is>
      </c>
    </row>
    <row r="13">
      <c r="A13" s="13" t="inlineStr">
        <is>
          <t>Medium</t>
        </is>
      </c>
      <c r="B13" s="13" t="n">
        <v>5</v>
      </c>
    </row>
    <row r="14">
      <c r="A14" s="13" t="inlineStr">
        <is>
          <t>Low</t>
        </is>
      </c>
      <c r="B14" s="13" t="n">
        <v>2</v>
      </c>
    </row>
    <row r="15">
      <c r="A15" s="13" t="inlineStr">
        <is>
          <t>High</t>
        </is>
      </c>
      <c r="B15" s="13" t="n">
        <v>3</v>
      </c>
    </row>
  </sheetData>
  <mergeCells count="2">
    <mergeCell ref="A2:E2"/>
    <mergeCell ref="A1:E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2026-09-14T20:24:53Z</dcterms:created>
  <dcterms:modified xmlns:dcterms="http://purl.org/dc/terms/" xmlns:xsi="http://www.w3.org/2001/XMLSchema-instance" xsi:type="dcterms:W3CDTF">2026-09-15T08:06:32Z</dcterms:modified>
</cp:coreProperties>
</file>